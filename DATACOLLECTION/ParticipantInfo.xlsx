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"/>
    </mc:Choice>
  </mc:AlternateContent>
  <bookViews>
    <workbookView xWindow="0" yWindow="0" windowWidth="20520" windowHeight="9465"/>
  </bookViews>
  <sheets>
    <sheet name="Sheet1" sheetId="1" r:id="rId1"/>
    <sheet name="DMCI RESUL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9" i="1" l="1"/>
  <c r="J39" i="1"/>
  <c r="I39" i="1"/>
  <c r="L39" i="1"/>
  <c r="J23" i="1" l="1"/>
  <c r="M23" i="1"/>
  <c r="M22" i="1"/>
  <c r="J22" i="1"/>
  <c r="S39" i="1"/>
  <c r="R39" i="1"/>
  <c r="P39" i="1"/>
  <c r="O39" i="1"/>
  <c r="M21" i="1"/>
  <c r="J21" i="1" l="1"/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4" i="1"/>
  <c r="W21" i="1" l="1"/>
  <c r="X21" i="1"/>
  <c r="X22" i="1"/>
  <c r="W22" i="1"/>
  <c r="M9" i="1"/>
  <c r="M17" i="1"/>
  <c r="P8" i="1"/>
  <c r="M13" i="1"/>
  <c r="S10" i="1"/>
  <c r="P4" i="1"/>
  <c r="M6" i="1"/>
  <c r="M3" i="1"/>
  <c r="M4" i="1"/>
  <c r="P12" i="1"/>
  <c r="S15" i="1"/>
  <c r="S11" i="1"/>
  <c r="S6" i="1"/>
  <c r="M20" i="1"/>
  <c r="M16" i="1"/>
  <c r="M12" i="1"/>
  <c r="M8" i="1"/>
  <c r="P19" i="1"/>
  <c r="P15" i="1"/>
  <c r="P11" i="1"/>
  <c r="P7" i="1"/>
  <c r="S18" i="1"/>
  <c r="S14" i="1"/>
  <c r="S9" i="1"/>
  <c r="S5" i="1"/>
  <c r="P18" i="1"/>
  <c r="P14" i="1"/>
  <c r="P10" i="1"/>
  <c r="P6" i="1"/>
  <c r="S3" i="1"/>
  <c r="S17" i="1"/>
  <c r="S13" i="1"/>
  <c r="S8" i="1"/>
  <c r="S4" i="1"/>
  <c r="P20" i="1"/>
  <c r="P16" i="1"/>
  <c r="S19" i="1"/>
  <c r="M19" i="1"/>
  <c r="M15" i="1"/>
  <c r="M11" i="1"/>
  <c r="M7" i="1"/>
  <c r="M18" i="1"/>
  <c r="M14" i="1"/>
  <c r="M10" i="1"/>
  <c r="P3" i="1"/>
  <c r="P17" i="1"/>
  <c r="P13" i="1"/>
  <c r="P9" i="1"/>
  <c r="S20" i="1"/>
  <c r="S16" i="1"/>
  <c r="S12" i="1"/>
  <c r="S7" i="1"/>
  <c r="W4" i="1"/>
  <c r="W8" i="1"/>
  <c r="W7" i="1"/>
  <c r="W5" i="1"/>
  <c r="W27" i="1" l="1"/>
  <c r="W24" i="1"/>
  <c r="W30" i="1"/>
  <c r="W31" i="1"/>
  <c r="X24" i="1"/>
  <c r="X31" i="1"/>
  <c r="X30" i="1"/>
  <c r="X25" i="1"/>
  <c r="W25" i="1"/>
  <c r="X27" i="1"/>
  <c r="X28" i="1"/>
  <c r="W28" i="1"/>
</calcChain>
</file>

<file path=xl/sharedStrings.xml><?xml version="1.0" encoding="utf-8"?>
<sst xmlns="http://schemas.openxmlformats.org/spreadsheetml/2006/main" count="127" uniqueCount="88">
  <si>
    <t>Participant</t>
  </si>
  <si>
    <t>Age</t>
  </si>
  <si>
    <t>Gender</t>
  </si>
  <si>
    <t>Weigth</t>
  </si>
  <si>
    <t>Height</t>
  </si>
  <si>
    <t>Part1</t>
  </si>
  <si>
    <t>F</t>
  </si>
  <si>
    <t>Part2</t>
  </si>
  <si>
    <t>Part3</t>
  </si>
  <si>
    <t>Part4</t>
  </si>
  <si>
    <t>M</t>
  </si>
  <si>
    <t>Part5</t>
  </si>
  <si>
    <t>Part6</t>
  </si>
  <si>
    <t>Part7</t>
  </si>
  <si>
    <t>Part8</t>
  </si>
  <si>
    <t>Part9</t>
  </si>
  <si>
    <t>Part10</t>
  </si>
  <si>
    <t>Part11</t>
  </si>
  <si>
    <t>Part12</t>
  </si>
  <si>
    <t>Part13</t>
  </si>
  <si>
    <t>Part14</t>
  </si>
  <si>
    <t>Part15</t>
  </si>
  <si>
    <t>Part16</t>
  </si>
  <si>
    <t>Part17</t>
  </si>
  <si>
    <t>Part18</t>
  </si>
  <si>
    <t>Part19</t>
  </si>
  <si>
    <t>total female</t>
  </si>
  <si>
    <t>total male</t>
  </si>
  <si>
    <t>total &lt;50</t>
  </si>
  <si>
    <t>total &gt;50</t>
  </si>
  <si>
    <t>SUMIF</t>
  </si>
  <si>
    <t>1 SYNERGY VAF walking</t>
  </si>
  <si>
    <t>1 synergy vaf walking incline</t>
  </si>
  <si>
    <t>1 synergy vaf step forward</t>
  </si>
  <si>
    <t xml:space="preserve">1 synergy vaf step lateral </t>
  </si>
  <si>
    <t xml:space="preserve">#MS walking incline </t>
  </si>
  <si>
    <t xml:space="preserve">#MS step forward </t>
  </si>
  <si>
    <t xml:space="preserve">#MS step lateral </t>
  </si>
  <si>
    <t>#MS walking</t>
  </si>
  <si>
    <t>part20</t>
  </si>
  <si>
    <t>part21</t>
  </si>
  <si>
    <t>part23 (left leg)</t>
  </si>
  <si>
    <t>part24</t>
  </si>
  <si>
    <t>done with a 95% threshold for VAF</t>
  </si>
  <si>
    <t>part25</t>
  </si>
  <si>
    <t>part27</t>
  </si>
  <si>
    <t>part26</t>
  </si>
  <si>
    <t>part22 (SB)</t>
  </si>
  <si>
    <t>part28</t>
  </si>
  <si>
    <t>part29</t>
  </si>
  <si>
    <t>part30</t>
  </si>
  <si>
    <t>dmci walking</t>
  </si>
  <si>
    <t>dmci walking incline</t>
  </si>
  <si>
    <t>Avg dmci walking old</t>
  </si>
  <si>
    <t>Avg dmci walking YA</t>
  </si>
  <si>
    <t>Avg dmci incline walking YA</t>
  </si>
  <si>
    <t>Avg dmci incline walking old</t>
  </si>
  <si>
    <t>part31</t>
  </si>
  <si>
    <t>part32</t>
  </si>
  <si>
    <t>part33</t>
  </si>
  <si>
    <t>part35</t>
  </si>
  <si>
    <t>dmci step forward</t>
  </si>
  <si>
    <t>dmci step lateral</t>
  </si>
  <si>
    <t>part36</t>
  </si>
  <si>
    <t>DMCI Walking</t>
  </si>
  <si>
    <t>DMCI Incline Walking</t>
  </si>
  <si>
    <t>DMCI Step Forward</t>
  </si>
  <si>
    <t>DMCI Step Lateral</t>
  </si>
  <si>
    <t>Young</t>
  </si>
  <si>
    <t>Old</t>
  </si>
  <si>
    <t>Num of Participants</t>
  </si>
  <si>
    <t>stackedplot(experimental_data(39).data)</t>
  </si>
  <si>
    <t>P1-20</t>
  </si>
  <si>
    <t>SD VAF</t>
  </si>
  <si>
    <t>AVG VAF (Y)</t>
  </si>
  <si>
    <t>Avg dmci step forward YA</t>
  </si>
  <si>
    <t>Avg dmci step forward old</t>
  </si>
  <si>
    <t>Avg dmci step lateral YA</t>
  </si>
  <si>
    <t>Avg dmci step lateral old</t>
  </si>
  <si>
    <t>101.3326+-10.7122</t>
  </si>
  <si>
    <t>105.1724+-9.3397</t>
  </si>
  <si>
    <t>100+-10</t>
  </si>
  <si>
    <t>105.7331+-16.7826</t>
  </si>
  <si>
    <t>95.5259+-9.9971</t>
  </si>
  <si>
    <t>95.2187+-5.8507</t>
  </si>
  <si>
    <t>AVG</t>
  </si>
  <si>
    <t>STD</t>
  </si>
  <si>
    <t xml:space="preserve">YA = 1 OA=2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</si>
</sst>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0.7999816888943144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F616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0" borderId="0" applyNumberFormat="0" applyFill="0" applyBorder="0" applyAlignment="0" applyProtection="0"/>
    <xf numFmtId="0" fontId="4" fillId="9" borderId="0">
      <alignment horizontal="center" vertical="center"/>
    </xf>
  </cellStyleXfs>
  <cellXfs count="85">
    <xf numFmtId="0" fontId="0" fillId="0" borderId="0" xfId="0"/>
    <xf numFmtId="0" fontId="0" fillId="0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0" borderId="0" xfId="0" applyFill="1"/>
    <xf numFmtId="0" fontId="0" fillId="7" borderId="0" xfId="0" applyFont="1" applyFill="1" applyAlignment="1">
      <alignment wrapText="1"/>
    </xf>
    <xf numFmtId="0" fontId="0" fillId="7" borderId="0" xfId="0" applyFont="1" applyFill="1" applyAlignment="1">
      <alignment horizontal="center" vertical="center" wrapText="1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6" borderId="0" xfId="0" applyNumberFormat="1" applyFill="1" applyAlignment="1">
      <alignment horizontal="center" vertical="center" wrapText="1"/>
    </xf>
    <xf numFmtId="0" fontId="0" fillId="7" borderId="0" xfId="0" applyNumberForma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2" borderId="0" xfId="1" applyAlignment="1">
      <alignment wrapText="1"/>
    </xf>
    <xf numFmtId="0" fontId="1" fillId="2" borderId="0" xfId="1" applyAlignment="1">
      <alignment horizontal="center" vertical="center"/>
    </xf>
    <xf numFmtId="0" fontId="1" fillId="2" borderId="0" xfId="1" applyAlignment="1">
      <alignment horizontal="center"/>
    </xf>
    <xf numFmtId="0" fontId="1" fillId="2" borderId="0" xfId="1" applyNumberFormat="1" applyAlignment="1">
      <alignment horizontal="center"/>
    </xf>
    <xf numFmtId="0" fontId="2" fillId="3" borderId="1" xfId="2" applyAlignment="1">
      <alignment horizontal="center" vertical="center"/>
    </xf>
    <xf numFmtId="0" fontId="1" fillId="2" borderId="0" xfId="1"/>
    <xf numFmtId="0" fontId="3" fillId="5" borderId="2" xfId="3" applyFill="1" applyBorder="1"/>
    <xf numFmtId="0" fontId="3" fillId="5" borderId="3" xfId="3" applyFill="1" applyBorder="1"/>
    <xf numFmtId="0" fontId="3" fillId="5" borderId="4" xfId="3" applyFill="1" applyBorder="1"/>
    <xf numFmtId="0" fontId="3" fillId="5" borderId="5" xfId="3" applyFill="1" applyBorder="1"/>
    <xf numFmtId="0" fontId="3" fillId="5" borderId="6" xfId="3" applyFill="1" applyBorder="1"/>
    <xf numFmtId="0" fontId="3" fillId="5" borderId="7" xfId="3" applyFill="1" applyBorder="1"/>
    <xf numFmtId="0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8" borderId="0" xfId="0" applyFill="1"/>
    <xf numFmtId="0" fontId="1" fillId="2" borderId="0" xfId="1" applyAlignment="1">
      <alignment horizontal="center" vertical="center" wrapText="1"/>
    </xf>
    <xf numFmtId="0" fontId="1" fillId="2" borderId="0" xfId="1" applyNumberFormat="1" applyAlignment="1">
      <alignment horizontal="center" vertical="center"/>
    </xf>
    <xf numFmtId="0" fontId="3" fillId="0" borderId="0" xfId="3" applyFill="1"/>
    <xf numFmtId="0" fontId="1" fillId="0" borderId="0" xfId="1" applyFill="1"/>
    <xf numFmtId="0" fontId="0" fillId="5" borderId="4" xfId="0" applyFill="1" applyBorder="1"/>
    <xf numFmtId="11" fontId="0" fillId="7" borderId="0" xfId="0" applyNumberFormat="1" applyFill="1" applyAlignment="1">
      <alignment horizontal="center" vertical="center"/>
    </xf>
    <xf numFmtId="0" fontId="0" fillId="7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0" borderId="0" xfId="0" applyFont="1" applyFill="1"/>
    <xf numFmtId="0" fontId="4" fillId="9" borderId="0" xfId="4">
      <alignment horizontal="center" vertical="center"/>
    </xf>
    <xf numFmtId="17" fontId="0" fillId="5" borderId="2" xfId="0" applyNumberFormat="1" applyFill="1" applyBorder="1"/>
    <xf numFmtId="0" fontId="5" fillId="7" borderId="0" xfId="0" applyFont="1" applyFill="1" applyAlignment="1">
      <alignment horizont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5" borderId="12" xfId="0" applyNumberForma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3" xfId="0" applyNumberFormat="1" applyFill="1" applyBorder="1" applyAlignment="1">
      <alignment horizontal="center"/>
    </xf>
    <xf numFmtId="0" fontId="0" fillId="5" borderId="13" xfId="0" applyFill="1" applyBorder="1" applyAlignment="1">
      <alignment horizontal="center" vertical="center"/>
    </xf>
    <xf numFmtId="0" fontId="0" fillId="5" borderId="14" xfId="0" applyNumberFormat="1" applyFill="1" applyBorder="1" applyAlignment="1">
      <alignment horizontal="center"/>
    </xf>
    <xf numFmtId="0" fontId="0" fillId="5" borderId="15" xfId="0" applyNumberForma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6" xfId="0" applyFill="1" applyBorder="1"/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/>
    <xf numFmtId="0" fontId="5" fillId="5" borderId="0" xfId="0" applyFont="1" applyFill="1"/>
    <xf numFmtId="0" fontId="5" fillId="5" borderId="0" xfId="1" applyFont="1" applyFill="1"/>
    <xf numFmtId="0" fontId="5" fillId="5" borderId="0" xfId="0" applyFont="1" applyFill="1" applyAlignment="1">
      <alignment horizontal="center"/>
    </xf>
    <xf numFmtId="0" fontId="5" fillId="5" borderId="0" xfId="1" applyFont="1" applyFill="1" applyAlignment="1">
      <alignment horizontal="center"/>
    </xf>
    <xf numFmtId="11" fontId="0" fillId="7" borderId="0" xfId="0" applyNumberFormat="1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11" fontId="0" fillId="0" borderId="0" xfId="0" applyNumberFormat="1" applyAlignment="1">
      <alignment horizontal="center"/>
    </xf>
    <xf numFmtId="11" fontId="0" fillId="5" borderId="16" xfId="0" applyNumberFormat="1" applyFill="1" applyBorder="1" applyAlignment="1">
      <alignment horizontal="center"/>
    </xf>
    <xf numFmtId="0" fontId="0" fillId="10" borderId="0" xfId="0" applyFill="1"/>
  </cellXfs>
  <cellStyles count="5">
    <cellStyle name="Bad" xfId="1" builtinId="27"/>
    <cellStyle name="Bad Data" xfId="4"/>
    <cellStyle name="Check Cell" xfId="2" builtinId="23"/>
    <cellStyle name="Explanatory Text" xfId="3" builtinId="53"/>
    <cellStyle name="Normal" xfId="0" builtinId="0"/>
  </cellStyles>
  <dxfs count="0"/>
  <tableStyles count="0" defaultTableStyle="TableStyleMedium2" defaultPivotStyle="PivotStyleLight16"/>
  <colors>
    <mruColors>
      <color rgb="FFAF6161"/>
      <color rgb="FFFF6565"/>
      <color rgb="FFDF1B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280988</xdr:colOff>
      <xdr:row>33</xdr:row>
      <xdr:rowOff>19050</xdr:rowOff>
    </xdr:from>
    <xdr:to>
      <xdr:col>22</xdr:col>
      <xdr:colOff>233363</xdr:colOff>
      <xdr:row>37</xdr:row>
      <xdr:rowOff>100012</xdr:rowOff>
    </xdr:to>
    <xdr:sp macro="" textlink="">
      <xdr:nvSpPr>
        <xdr:cNvPr id="5" name="TextBox 4"/>
        <xdr:cNvSpPr txBox="1"/>
      </xdr:nvSpPr>
      <xdr:spPr>
        <a:xfrm>
          <a:off x="11253788" y="6381750"/>
          <a:ext cx="1581150" cy="8048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part 13 incline walking xsens data corrupted so used walking xsens data instead</a:t>
          </a:r>
        </a:p>
      </xdr:txBody>
    </xdr:sp>
    <xdr:clientData/>
  </xdr:twoCellAnchor>
  <xdr:twoCellAnchor>
    <xdr:from>
      <xdr:col>21</xdr:col>
      <xdr:colOff>228601</xdr:colOff>
      <xdr:row>32</xdr:row>
      <xdr:rowOff>128588</xdr:rowOff>
    </xdr:from>
    <xdr:to>
      <xdr:col>22</xdr:col>
      <xdr:colOff>128588</xdr:colOff>
      <xdr:row>37</xdr:row>
      <xdr:rowOff>57150</xdr:rowOff>
    </xdr:to>
    <xdr:sp macro="" textlink="">
      <xdr:nvSpPr>
        <xdr:cNvPr id="4" name="Line Callout 1 3"/>
        <xdr:cNvSpPr/>
      </xdr:nvSpPr>
      <xdr:spPr>
        <a:xfrm>
          <a:off x="11201401" y="6310313"/>
          <a:ext cx="1528762" cy="833437"/>
        </a:xfrm>
        <a:prstGeom prst="borderCallout1">
          <a:avLst>
            <a:gd name="adj1" fmla="val 1036"/>
            <a:gd name="adj2" fmla="val 78"/>
            <a:gd name="adj3" fmla="val 1071"/>
            <a:gd name="adj4" fmla="val 3723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3"/>
  <sheetViews>
    <sheetView tabSelected="1" topLeftCell="C8" workbookViewId="0">
      <selection activeCell="I25" sqref="I25"/>
    </sheetView>
  </sheetViews>
  <sheetFormatPr defaultRowHeight="14.25" x14ac:dyDescent="0.45"/>
  <cols>
    <col min="1" max="1" width="13.73046875" customWidth="1"/>
    <col min="7" max="7" width="9" style="9"/>
    <col min="8" max="8" width="9" style="15"/>
    <col min="9" max="9" width="14" style="17" customWidth="1"/>
    <col min="10" max="10" width="11.1328125" style="15" bestFit="1" customWidth="1"/>
    <col min="11" max="11" width="12.1328125" style="15" customWidth="1"/>
    <col min="12" max="12" width="10" style="17" customWidth="1"/>
    <col min="14" max="14" width="13" style="5" customWidth="1"/>
    <col min="15" max="15" width="10.59765625" style="5" customWidth="1"/>
    <col min="16" max="16" width="10.1328125" style="5" customWidth="1"/>
    <col min="17" max="18" width="9" style="5"/>
    <col min="20" max="21" width="9" style="10"/>
    <col min="22" max="22" width="22.86328125" style="10" customWidth="1"/>
    <col min="23" max="47" width="9" style="10"/>
  </cols>
  <sheetData>
    <row r="1" spans="1:47" ht="42.75" x14ac:dyDescent="0.45">
      <c r="A1" s="2" t="s">
        <v>0</v>
      </c>
      <c r="B1" s="3" t="s">
        <v>1</v>
      </c>
      <c r="C1" s="3" t="s">
        <v>87</v>
      </c>
      <c r="D1" s="3" t="s">
        <v>2</v>
      </c>
      <c r="E1" s="3" t="s">
        <v>3</v>
      </c>
      <c r="F1" s="3" t="s">
        <v>4</v>
      </c>
      <c r="G1" s="6" t="s">
        <v>30</v>
      </c>
      <c r="H1" s="3" t="s">
        <v>38</v>
      </c>
      <c r="I1" s="18" t="s">
        <v>31</v>
      </c>
      <c r="J1" s="3" t="s">
        <v>51</v>
      </c>
      <c r="K1" s="3" t="s">
        <v>35</v>
      </c>
      <c r="L1" s="18" t="s">
        <v>32</v>
      </c>
      <c r="M1" s="18" t="s">
        <v>52</v>
      </c>
      <c r="N1" s="3" t="s">
        <v>36</v>
      </c>
      <c r="O1" s="3" t="s">
        <v>33</v>
      </c>
      <c r="P1" s="18" t="s">
        <v>61</v>
      </c>
      <c r="Q1" s="3" t="s">
        <v>37</v>
      </c>
      <c r="R1" s="3" t="s">
        <v>34</v>
      </c>
      <c r="S1" s="18" t="s">
        <v>62</v>
      </c>
    </row>
    <row r="2" spans="1:47" x14ac:dyDescent="0.45">
      <c r="A2" s="1" t="s">
        <v>5</v>
      </c>
      <c r="B2" s="4">
        <v>31</v>
      </c>
      <c r="C2" s="4">
        <v>1</v>
      </c>
      <c r="D2" s="4" t="s">
        <v>6</v>
      </c>
      <c r="E2" s="4">
        <v>62</v>
      </c>
      <c r="F2" s="4">
        <v>164</v>
      </c>
      <c r="G2" s="7">
        <v>1</v>
      </c>
      <c r="V2" s="39" t="s">
        <v>43</v>
      </c>
    </row>
    <row r="3" spans="1:47" ht="14.65" thickBot="1" x14ac:dyDescent="0.5">
      <c r="A3" s="1" t="s">
        <v>7</v>
      </c>
      <c r="B3" s="4">
        <v>22</v>
      </c>
      <c r="C3" s="4">
        <v>1</v>
      </c>
      <c r="D3" s="4" t="s">
        <v>6</v>
      </c>
      <c r="E3" s="4">
        <v>75</v>
      </c>
      <c r="F3" s="4">
        <v>173</v>
      </c>
      <c r="G3" s="7">
        <v>1</v>
      </c>
      <c r="H3" s="4">
        <v>4</v>
      </c>
      <c r="I3" s="20">
        <v>83.205979999999997</v>
      </c>
      <c r="J3" s="4">
        <v>110.31270000000001</v>
      </c>
      <c r="K3" s="21">
        <v>4</v>
      </c>
      <c r="L3" s="20">
        <v>83.205979999999997</v>
      </c>
      <c r="M3">
        <f>100+10*(($L$39-L3)/($M$39))</f>
        <v>110.20831264037558</v>
      </c>
      <c r="N3" s="5">
        <v>4</v>
      </c>
      <c r="O3" s="34">
        <v>80.937380000000005</v>
      </c>
      <c r="P3" s="34">
        <f>100+10*(($O$39-O3)/($P$39))</f>
        <v>95.532048753627706</v>
      </c>
      <c r="Q3" s="5">
        <v>4</v>
      </c>
      <c r="R3" s="34">
        <v>81.245419999999996</v>
      </c>
      <c r="S3">
        <f t="shared" ref="S3:S20" si="0">100+10*(($R$39-R3)/($S$39))</f>
        <v>97.69154944888669</v>
      </c>
    </row>
    <row r="4" spans="1:47" x14ac:dyDescent="0.45">
      <c r="A4" s="1" t="s">
        <v>8</v>
      </c>
      <c r="B4" s="4">
        <v>24</v>
      </c>
      <c r="C4" s="4">
        <v>1</v>
      </c>
      <c r="D4" s="4" t="s">
        <v>6</v>
      </c>
      <c r="E4" s="4">
        <v>60</v>
      </c>
      <c r="F4" s="4">
        <v>157</v>
      </c>
      <c r="G4" s="7">
        <v>1</v>
      </c>
      <c r="H4" s="4">
        <v>3</v>
      </c>
      <c r="I4" s="20">
        <v>90.647679999999994</v>
      </c>
      <c r="J4" s="4">
        <f>100+10*(($I$39-I4)/($J$39))</f>
        <v>91.395512011129227</v>
      </c>
      <c r="K4" s="4">
        <v>3</v>
      </c>
      <c r="L4" s="20">
        <v>86.973370000000003</v>
      </c>
      <c r="M4">
        <f>100+10*(($L$39-L4)/($M$39))</f>
        <v>96.297626558738216</v>
      </c>
      <c r="N4" s="5">
        <v>5</v>
      </c>
      <c r="O4" s="34">
        <v>76.719189999999998</v>
      </c>
      <c r="P4" s="34">
        <f>100+10*(($O$39-O4)/($P$39))</f>
        <v>111.34128706483145</v>
      </c>
      <c r="Q4" s="5">
        <v>5</v>
      </c>
      <c r="R4" s="34">
        <v>75.639240000000001</v>
      </c>
      <c r="S4">
        <f t="shared" si="0"/>
        <v>114.50554116934683</v>
      </c>
      <c r="V4" s="28" t="s">
        <v>26</v>
      </c>
      <c r="W4" s="29">
        <f>SUMIF(D2:D38,"F",G2:G38)</f>
        <v>13</v>
      </c>
    </row>
    <row r="5" spans="1:47" s="27" customFormat="1" x14ac:dyDescent="0.45">
      <c r="A5" s="22" t="s">
        <v>9</v>
      </c>
      <c r="B5" s="37">
        <v>27</v>
      </c>
      <c r="C5" s="37">
        <v>1</v>
      </c>
      <c r="D5" s="37" t="s">
        <v>10</v>
      </c>
      <c r="E5" s="37">
        <v>74.5</v>
      </c>
      <c r="F5" s="37">
        <v>180</v>
      </c>
      <c r="G5" s="37">
        <v>1</v>
      </c>
      <c r="H5" s="24"/>
      <c r="I5" s="25"/>
      <c r="J5" s="37"/>
      <c r="K5" s="24"/>
      <c r="L5" s="25"/>
      <c r="N5" s="23"/>
      <c r="O5" s="23"/>
      <c r="P5" s="38"/>
      <c r="Q5" s="23"/>
      <c r="R5" s="23"/>
      <c r="S5">
        <f t="shared" si="0"/>
        <v>341.3618952467931</v>
      </c>
      <c r="T5" s="10"/>
      <c r="U5" s="10"/>
      <c r="V5" s="30" t="s">
        <v>27</v>
      </c>
      <c r="W5" s="31">
        <f>SUMIF(D2:D37,"M",G2:G37)</f>
        <v>20</v>
      </c>
      <c r="X5" s="10"/>
      <c r="Y5" s="1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</row>
    <row r="6" spans="1:47" x14ac:dyDescent="0.45">
      <c r="A6" s="1" t="s">
        <v>11</v>
      </c>
      <c r="B6" s="4">
        <v>34</v>
      </c>
      <c r="C6" s="4">
        <v>1</v>
      </c>
      <c r="D6" s="4" t="s">
        <v>10</v>
      </c>
      <c r="E6" s="4">
        <v>67</v>
      </c>
      <c r="F6" s="4">
        <v>170</v>
      </c>
      <c r="G6" s="7">
        <v>1</v>
      </c>
      <c r="H6" s="15">
        <v>2</v>
      </c>
      <c r="I6" s="20">
        <v>87.76446</v>
      </c>
      <c r="J6" s="4">
        <f t="shared" ref="J6:J23" si="1">100+10*(($I$39-I6)/($J$39))</f>
        <v>98.612597045434995</v>
      </c>
      <c r="K6" s="21">
        <v>3</v>
      </c>
      <c r="L6" s="20">
        <v>85.406800000000004</v>
      </c>
      <c r="M6">
        <f t="shared" ref="M6:M20" si="2">100+10*(($L$39-L6)/($M$39))</f>
        <v>102.08201933328786</v>
      </c>
      <c r="N6" s="5">
        <v>5</v>
      </c>
      <c r="O6" s="34">
        <v>80.695750000000004</v>
      </c>
      <c r="P6" s="34">
        <f t="shared" ref="P6:P20" si="3">100+10*(($O$39-O6)/($P$39))</f>
        <v>96.437647186400099</v>
      </c>
      <c r="Q6" s="5">
        <v>4</v>
      </c>
      <c r="R6" s="34">
        <v>77.155540000000002</v>
      </c>
      <c r="S6">
        <f t="shared" si="0"/>
        <v>109.95787133967069</v>
      </c>
      <c r="V6" s="30"/>
      <c r="W6" s="31"/>
    </row>
    <row r="7" spans="1:47" x14ac:dyDescent="0.45">
      <c r="A7" s="1" t="s">
        <v>12</v>
      </c>
      <c r="B7" s="4">
        <v>31</v>
      </c>
      <c r="C7" s="4">
        <v>1</v>
      </c>
      <c r="D7" s="4" t="s">
        <v>6</v>
      </c>
      <c r="E7" s="4">
        <v>65</v>
      </c>
      <c r="F7" s="4">
        <v>174</v>
      </c>
      <c r="G7" s="7">
        <v>1</v>
      </c>
      <c r="H7" s="15">
        <v>2</v>
      </c>
      <c r="I7" s="17">
        <v>87.764430000000004</v>
      </c>
      <c r="J7" s="4">
        <f t="shared" si="1"/>
        <v>98.612672139444811</v>
      </c>
      <c r="K7" s="15">
        <v>3</v>
      </c>
      <c r="L7" s="17">
        <v>85.406790000000001</v>
      </c>
      <c r="M7">
        <f t="shared" si="2"/>
        <v>102.08205625722216</v>
      </c>
      <c r="N7" s="5">
        <v>4</v>
      </c>
      <c r="O7" s="34">
        <v>79.030500000000004</v>
      </c>
      <c r="P7" s="34">
        <f t="shared" si="3"/>
        <v>102.67879187114212</v>
      </c>
      <c r="Q7" s="5">
        <v>5</v>
      </c>
      <c r="R7" s="34">
        <v>79.831069999999997</v>
      </c>
      <c r="S7">
        <f t="shared" si="0"/>
        <v>101.93345199033787</v>
      </c>
      <c r="V7" s="30" t="s">
        <v>28</v>
      </c>
      <c r="W7" s="31">
        <f>SUMIF(B2:B38,"&lt;50",G2:G38)</f>
        <v>17</v>
      </c>
    </row>
    <row r="8" spans="1:47" ht="14.65" thickBot="1" x14ac:dyDescent="0.5">
      <c r="A8" s="1" t="s">
        <v>13</v>
      </c>
      <c r="B8" s="4">
        <v>22</v>
      </c>
      <c r="C8" s="4">
        <v>1</v>
      </c>
      <c r="D8" s="4" t="s">
        <v>10</v>
      </c>
      <c r="E8" s="4">
        <v>85</v>
      </c>
      <c r="F8" s="4">
        <v>175</v>
      </c>
      <c r="G8" s="7">
        <v>1</v>
      </c>
      <c r="H8" s="15">
        <v>2</v>
      </c>
      <c r="I8" s="17">
        <v>90.707899999999995</v>
      </c>
      <c r="J8" s="4">
        <f t="shared" si="1"/>
        <v>91.24477330205886</v>
      </c>
      <c r="K8" s="15">
        <v>3</v>
      </c>
      <c r="L8" s="17">
        <v>88.631879999999995</v>
      </c>
      <c r="M8">
        <f t="shared" si="2"/>
        <v>90.173755132298098</v>
      </c>
      <c r="N8" s="5">
        <v>4</v>
      </c>
      <c r="O8" s="34">
        <v>80.607230000000001</v>
      </c>
      <c r="P8" s="34">
        <f t="shared" si="3"/>
        <v>96.769408860318947</v>
      </c>
      <c r="Q8" s="5">
        <v>3</v>
      </c>
      <c r="R8" s="34">
        <v>85.147729999999996</v>
      </c>
      <c r="S8">
        <f t="shared" si="0"/>
        <v>85.987785383039935</v>
      </c>
      <c r="V8" s="32" t="s">
        <v>29</v>
      </c>
      <c r="W8" s="33">
        <f>SUMIF(B2:B39,"&gt;50",G2:G39)</f>
        <v>15</v>
      </c>
    </row>
    <row r="9" spans="1:47" x14ac:dyDescent="0.45">
      <c r="A9" s="1" t="s">
        <v>14</v>
      </c>
      <c r="B9" s="4">
        <v>33</v>
      </c>
      <c r="C9" s="4">
        <v>1</v>
      </c>
      <c r="D9" s="4" t="s">
        <v>10</v>
      </c>
      <c r="E9" s="4">
        <v>95</v>
      </c>
      <c r="F9" s="4">
        <v>173</v>
      </c>
      <c r="G9" s="7">
        <v>1</v>
      </c>
      <c r="H9" s="15">
        <v>3</v>
      </c>
      <c r="I9" s="17">
        <v>86.872519999999994</v>
      </c>
      <c r="J9" s="4">
        <f t="shared" si="1"/>
        <v>100.84524208310077</v>
      </c>
      <c r="K9" s="15">
        <v>4</v>
      </c>
      <c r="L9" s="17">
        <v>83.78425</v>
      </c>
      <c r="M9">
        <f t="shared" si="2"/>
        <v>108.07311229201014</v>
      </c>
      <c r="N9" s="5">
        <v>4</v>
      </c>
      <c r="O9" s="34">
        <v>82.085440000000006</v>
      </c>
      <c r="P9" s="34">
        <f t="shared" si="3"/>
        <v>91.22926624843933</v>
      </c>
      <c r="Q9" s="5">
        <v>4</v>
      </c>
      <c r="R9" s="34">
        <v>83.558149999999998</v>
      </c>
      <c r="S9">
        <f t="shared" si="0"/>
        <v>90.7552357608389</v>
      </c>
    </row>
    <row r="10" spans="1:47" s="13" customFormat="1" ht="13.5" customHeight="1" x14ac:dyDescent="0.45">
      <c r="A10" s="11" t="s">
        <v>15</v>
      </c>
      <c r="B10" s="12">
        <v>51</v>
      </c>
      <c r="C10" s="12">
        <v>2</v>
      </c>
      <c r="D10" s="12" t="s">
        <v>10</v>
      </c>
      <c r="E10" s="12">
        <v>79</v>
      </c>
      <c r="F10" s="12">
        <v>169</v>
      </c>
      <c r="G10" s="12">
        <v>1</v>
      </c>
      <c r="H10" s="16">
        <v>3</v>
      </c>
      <c r="I10" s="19">
        <v>89.265929999999997</v>
      </c>
      <c r="J10" s="12">
        <f t="shared" si="1"/>
        <v>94.854216947329718</v>
      </c>
      <c r="K10" s="16">
        <v>3</v>
      </c>
      <c r="L10" s="19">
        <v>88.824359999999999</v>
      </c>
      <c r="M10" s="13">
        <f t="shared" si="2"/>
        <v>89.463043245025048</v>
      </c>
      <c r="N10" s="14">
        <v>6</v>
      </c>
      <c r="O10" s="43">
        <v>77.744230000000002</v>
      </c>
      <c r="P10" s="43">
        <f t="shared" si="3"/>
        <v>107.49956783489721</v>
      </c>
      <c r="Q10" s="14">
        <v>5</v>
      </c>
      <c r="R10" s="43">
        <v>79.180329999999998</v>
      </c>
      <c r="S10" s="13">
        <f t="shared" si="0"/>
        <v>103.88514404663508</v>
      </c>
    </row>
    <row r="11" spans="1:47" s="13" customFormat="1" x14ac:dyDescent="0.45">
      <c r="A11" s="11" t="s">
        <v>16</v>
      </c>
      <c r="B11" s="12">
        <v>51</v>
      </c>
      <c r="C11" s="12">
        <v>2</v>
      </c>
      <c r="D11" s="12" t="s">
        <v>10</v>
      </c>
      <c r="E11" s="12">
        <v>69.2</v>
      </c>
      <c r="F11" s="12">
        <v>181</v>
      </c>
      <c r="G11" s="12">
        <v>1</v>
      </c>
      <c r="H11" s="16">
        <v>4</v>
      </c>
      <c r="I11" s="19">
        <v>86.389619999999994</v>
      </c>
      <c r="J11" s="12">
        <f t="shared" si="1"/>
        <v>102.05400532803742</v>
      </c>
      <c r="K11" s="16">
        <v>4</v>
      </c>
      <c r="L11" s="19">
        <v>85.386229999999998</v>
      </c>
      <c r="M11" s="13">
        <f t="shared" si="2"/>
        <v>102.15797186612873</v>
      </c>
      <c r="N11" s="14">
        <v>4</v>
      </c>
      <c r="O11" s="43">
        <v>84.428730000000002</v>
      </c>
      <c r="P11" s="43">
        <f t="shared" si="3"/>
        <v>82.446914092120991</v>
      </c>
      <c r="Q11" s="14">
        <v>5</v>
      </c>
      <c r="R11" s="43">
        <v>83.530180000000001</v>
      </c>
      <c r="S11" s="13">
        <f t="shared" si="0"/>
        <v>90.839123068849204</v>
      </c>
    </row>
    <row r="12" spans="1:47" s="36" customFormat="1" x14ac:dyDescent="0.45">
      <c r="A12" s="1" t="s">
        <v>17</v>
      </c>
      <c r="B12" s="4">
        <v>22</v>
      </c>
      <c r="C12" s="4">
        <v>1</v>
      </c>
      <c r="D12" s="4" t="s">
        <v>10</v>
      </c>
      <c r="E12" s="4">
        <v>70.5</v>
      </c>
      <c r="F12" s="4">
        <v>180</v>
      </c>
      <c r="G12" s="7">
        <v>1</v>
      </c>
      <c r="H12" s="21">
        <v>3</v>
      </c>
      <c r="I12" s="20">
        <v>89.132210000000001</v>
      </c>
      <c r="J12" s="4">
        <f t="shared" si="1"/>
        <v>95.188935980489646</v>
      </c>
      <c r="K12" s="21">
        <v>3</v>
      </c>
      <c r="L12" s="20">
        <v>88.656289999999998</v>
      </c>
      <c r="M12">
        <f t="shared" si="2"/>
        <v>90.083623808688699</v>
      </c>
      <c r="N12" s="46"/>
      <c r="O12" s="46">
        <v>99.185460000000006</v>
      </c>
      <c r="P12" s="34">
        <f t="shared" si="3"/>
        <v>27.140571498712632</v>
      </c>
      <c r="Q12" s="49">
        <v>4</v>
      </c>
      <c r="R12" s="49">
        <v>80.211039999999997</v>
      </c>
      <c r="S12">
        <f t="shared" si="0"/>
        <v>100.79385025903007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spans="1:47" x14ac:dyDescent="0.45">
      <c r="A13" s="1" t="s">
        <v>18</v>
      </c>
      <c r="B13" s="4">
        <v>49</v>
      </c>
      <c r="C13" s="4">
        <v>1</v>
      </c>
      <c r="D13" s="4" t="s">
        <v>10</v>
      </c>
      <c r="E13" s="4">
        <v>80.8</v>
      </c>
      <c r="F13" s="4">
        <v>173</v>
      </c>
      <c r="G13" s="7">
        <v>1</v>
      </c>
      <c r="H13" s="21">
        <v>3</v>
      </c>
      <c r="I13" s="20">
        <v>80.598560000000006</v>
      </c>
      <c r="J13" s="4">
        <f t="shared" si="1"/>
        <v>116.54980254738479</v>
      </c>
      <c r="K13" s="21">
        <v>3</v>
      </c>
      <c r="L13" s="20">
        <v>84.329570000000004</v>
      </c>
      <c r="M13">
        <f t="shared" si="2"/>
        <v>106.05957630714036</v>
      </c>
      <c r="N13" s="5">
        <v>5</v>
      </c>
      <c r="O13" s="34">
        <v>77.255660000000006</v>
      </c>
      <c r="P13" s="34">
        <f t="shared" si="3"/>
        <v>109.33066590343009</v>
      </c>
      <c r="Q13" s="34">
        <v>4</v>
      </c>
      <c r="R13" s="34">
        <v>76.875339999999994</v>
      </c>
      <c r="S13">
        <f t="shared" si="0"/>
        <v>110.79824401412515</v>
      </c>
    </row>
    <row r="14" spans="1:47" x14ac:dyDescent="0.45">
      <c r="A14" s="11" t="s">
        <v>19</v>
      </c>
      <c r="B14" s="12">
        <v>63</v>
      </c>
      <c r="C14" s="12">
        <v>2</v>
      </c>
      <c r="D14" s="12" t="s">
        <v>10</v>
      </c>
      <c r="E14" s="12">
        <v>87.8</v>
      </c>
      <c r="F14" s="12">
        <v>179</v>
      </c>
      <c r="G14" s="12">
        <v>1</v>
      </c>
      <c r="H14" s="16">
        <v>3</v>
      </c>
      <c r="I14" s="19">
        <v>80.386120000000005</v>
      </c>
      <c r="J14" s="12">
        <f t="shared" si="1"/>
        <v>117.08156826234512</v>
      </c>
      <c r="K14" s="16">
        <v>3</v>
      </c>
      <c r="L14" s="19">
        <v>77.914209999999997</v>
      </c>
      <c r="M14" s="13">
        <f t="shared" si="2"/>
        <v>129.7476094177801</v>
      </c>
      <c r="N14" s="14">
        <v>4</v>
      </c>
      <c r="O14" s="43">
        <v>81.572620000000001</v>
      </c>
      <c r="P14" s="34">
        <f t="shared" si="3"/>
        <v>93.151250225157199</v>
      </c>
      <c r="Q14" s="43">
        <v>4</v>
      </c>
      <c r="R14" s="42">
        <v>80.230469999999997</v>
      </c>
      <c r="S14" s="13">
        <f t="shared" si="0"/>
        <v>100.73557602253952</v>
      </c>
    </row>
    <row r="15" spans="1:47" x14ac:dyDescent="0.45">
      <c r="A15" s="1" t="s">
        <v>20</v>
      </c>
      <c r="B15" s="4">
        <v>21</v>
      </c>
      <c r="C15" s="4">
        <v>1</v>
      </c>
      <c r="D15" s="4" t="s">
        <v>10</v>
      </c>
      <c r="E15" s="4">
        <v>73</v>
      </c>
      <c r="F15" s="4">
        <v>176</v>
      </c>
      <c r="G15" s="7">
        <v>1</v>
      </c>
      <c r="H15" s="21">
        <v>4</v>
      </c>
      <c r="I15" s="20">
        <v>83.295590000000004</v>
      </c>
      <c r="J15" s="4">
        <f t="shared" si="1"/>
        <v>109.79877596943594</v>
      </c>
      <c r="K15" s="21">
        <v>4</v>
      </c>
      <c r="L15" s="20">
        <v>81.801109999999994</v>
      </c>
      <c r="M15">
        <f t="shared" si="2"/>
        <v>115.39564539740628</v>
      </c>
      <c r="N15" s="46"/>
      <c r="O15" s="46">
        <v>99.660749999999993</v>
      </c>
      <c r="P15" s="34">
        <f t="shared" si="3"/>
        <v>25.35924517701261</v>
      </c>
      <c r="Q15" s="5">
        <v>3</v>
      </c>
      <c r="R15" s="34">
        <v>80.440290000000005</v>
      </c>
      <c r="S15">
        <f t="shared" si="0"/>
        <v>100.10628624897052</v>
      </c>
    </row>
    <row r="16" spans="1:47" x14ac:dyDescent="0.45">
      <c r="A16" s="11" t="s">
        <v>21</v>
      </c>
      <c r="B16" s="12">
        <v>55</v>
      </c>
      <c r="C16" s="12">
        <v>2</v>
      </c>
      <c r="D16" s="12" t="s">
        <v>10</v>
      </c>
      <c r="E16" s="12">
        <v>76.599999999999994</v>
      </c>
      <c r="F16" s="12">
        <v>185</v>
      </c>
      <c r="G16" s="12">
        <v>1</v>
      </c>
      <c r="H16" s="16">
        <v>3</v>
      </c>
      <c r="I16" s="48">
        <v>86.619420000000005</v>
      </c>
      <c r="J16" s="12">
        <f t="shared" si="1"/>
        <v>101.47878521272068</v>
      </c>
      <c r="K16" s="16">
        <v>4</v>
      </c>
      <c r="L16" s="19">
        <v>83.677719999999994</v>
      </c>
      <c r="M16" s="13">
        <f t="shared" si="2"/>
        <v>108.46646296403425</v>
      </c>
      <c r="N16" s="14">
        <v>5</v>
      </c>
      <c r="O16" s="43">
        <v>78.630120000000005</v>
      </c>
      <c r="P16" s="43">
        <f t="shared" si="3"/>
        <v>104.17936506368198</v>
      </c>
      <c r="Q16" s="14">
        <v>4</v>
      </c>
      <c r="R16" s="43">
        <v>83.024609999999996</v>
      </c>
      <c r="S16" s="13">
        <f t="shared" si="0"/>
        <v>92.355422901197272</v>
      </c>
    </row>
    <row r="17" spans="1:47" x14ac:dyDescent="0.45">
      <c r="A17" s="11" t="s">
        <v>22</v>
      </c>
      <c r="B17" s="12">
        <v>52</v>
      </c>
      <c r="C17" s="12">
        <v>2</v>
      </c>
      <c r="D17" s="12" t="s">
        <v>10</v>
      </c>
      <c r="E17" s="12">
        <v>87</v>
      </c>
      <c r="F17" s="12">
        <v>180</v>
      </c>
      <c r="G17" s="12">
        <v>1</v>
      </c>
      <c r="H17" s="16">
        <v>4</v>
      </c>
      <c r="I17" s="19">
        <v>82.927689999999998</v>
      </c>
      <c r="J17" s="12">
        <f t="shared" si="1"/>
        <v>110.71967884334813</v>
      </c>
      <c r="K17" s="16">
        <v>3</v>
      </c>
      <c r="L17" s="19">
        <v>86.554220000000001</v>
      </c>
      <c r="M17" s="13">
        <f t="shared" si="2"/>
        <v>97.845293264632303</v>
      </c>
      <c r="N17" s="14">
        <v>4</v>
      </c>
      <c r="O17" s="42">
        <v>81.125259999999997</v>
      </c>
      <c r="P17" s="43">
        <f t="shared" si="3"/>
        <v>94.827898467863236</v>
      </c>
      <c r="Q17" s="14">
        <v>4</v>
      </c>
      <c r="R17" s="42">
        <v>83.024590000000003</v>
      </c>
      <c r="S17" s="13">
        <f t="shared" si="0"/>
        <v>92.355482884971309</v>
      </c>
    </row>
    <row r="18" spans="1:47" x14ac:dyDescent="0.45">
      <c r="A18" s="1" t="s">
        <v>23</v>
      </c>
      <c r="B18" s="4">
        <v>34</v>
      </c>
      <c r="C18" s="4">
        <v>1</v>
      </c>
      <c r="D18" s="4" t="s">
        <v>10</v>
      </c>
      <c r="E18" s="4">
        <v>82</v>
      </c>
      <c r="F18" s="4">
        <v>182</v>
      </c>
      <c r="G18" s="7">
        <v>1</v>
      </c>
      <c r="H18" s="15">
        <v>2</v>
      </c>
      <c r="I18" s="17">
        <v>89.565049999999999</v>
      </c>
      <c r="J18" s="4">
        <f t="shared" si="1"/>
        <v>94.105479606626773</v>
      </c>
      <c r="K18" s="15">
        <v>2</v>
      </c>
      <c r="L18" s="17">
        <v>90.029570000000007</v>
      </c>
      <c r="M18">
        <f t="shared" si="2"/>
        <v>85.01293376008978</v>
      </c>
      <c r="N18" s="5">
        <v>5</v>
      </c>
      <c r="O18" s="34">
        <v>80.618729999999999</v>
      </c>
      <c r="P18" s="34">
        <f t="shared" si="3"/>
        <v>96.726308326540533</v>
      </c>
      <c r="Q18" s="5">
        <v>4</v>
      </c>
      <c r="R18" s="34">
        <v>82.780559999999994</v>
      </c>
      <c r="S18">
        <f t="shared" si="0"/>
        <v>93.087374904054542</v>
      </c>
    </row>
    <row r="19" spans="1:47" x14ac:dyDescent="0.45">
      <c r="A19" s="1" t="s">
        <v>24</v>
      </c>
      <c r="B19" s="4">
        <v>29</v>
      </c>
      <c r="C19" s="4">
        <v>1</v>
      </c>
      <c r="D19" s="4" t="s">
        <v>6</v>
      </c>
      <c r="E19" s="4">
        <v>80</v>
      </c>
      <c r="F19" s="4">
        <v>163</v>
      </c>
      <c r="G19" s="7">
        <v>1</v>
      </c>
      <c r="H19" s="15">
        <v>2</v>
      </c>
      <c r="I19" s="17">
        <v>92.123379999999997</v>
      </c>
      <c r="J19" s="4">
        <f t="shared" si="1"/>
        <v>87.701637667470038</v>
      </c>
      <c r="K19" s="15">
        <v>3</v>
      </c>
      <c r="L19" s="17">
        <v>88.118219999999994</v>
      </c>
      <c r="M19">
        <f t="shared" si="2"/>
        <v>92.070389941195998</v>
      </c>
      <c r="N19" s="5">
        <v>2</v>
      </c>
      <c r="O19" s="34">
        <v>84.161500000000004</v>
      </c>
      <c r="P19" s="34">
        <f t="shared" si="3"/>
        <v>83.448458060956654</v>
      </c>
      <c r="Q19" s="5">
        <v>4</v>
      </c>
      <c r="R19" s="35">
        <v>85.621449999999996</v>
      </c>
      <c r="S19">
        <f t="shared" si="0"/>
        <v>84.567009710868078</v>
      </c>
    </row>
    <row r="20" spans="1:47" x14ac:dyDescent="0.45">
      <c r="A20" s="1" t="s">
        <v>25</v>
      </c>
      <c r="B20" s="4">
        <v>25</v>
      </c>
      <c r="C20" s="4">
        <v>1</v>
      </c>
      <c r="D20" s="4" t="s">
        <v>10</v>
      </c>
      <c r="E20" s="4">
        <v>96.5</v>
      </c>
      <c r="F20" s="4">
        <v>178</v>
      </c>
      <c r="G20" s="7">
        <v>1</v>
      </c>
      <c r="H20" s="15">
        <v>3</v>
      </c>
      <c r="I20" s="17">
        <v>82.820279999999997</v>
      </c>
      <c r="J20" s="4">
        <f t="shared" si="1"/>
        <v>110.98854042988499</v>
      </c>
      <c r="K20" s="15">
        <v>3</v>
      </c>
      <c r="L20" s="17">
        <v>85.730860000000007</v>
      </c>
      <c r="M20">
        <f t="shared" si="2"/>
        <v>100.88546231858659</v>
      </c>
      <c r="N20" s="5">
        <v>3</v>
      </c>
      <c r="O20" s="34">
        <v>75.341120000000004</v>
      </c>
      <c r="P20" s="34">
        <f t="shared" si="3"/>
        <v>116.50611772431344</v>
      </c>
      <c r="Q20" s="5">
        <v>4</v>
      </c>
      <c r="R20" s="34">
        <v>77.202910000000003</v>
      </c>
      <c r="S20">
        <f t="shared" si="0"/>
        <v>109.81579977083091</v>
      </c>
      <c r="U20" s="61"/>
      <c r="V20" s="61"/>
      <c r="W20" s="63" t="s">
        <v>85</v>
      </c>
      <c r="X20" s="63" t="s">
        <v>86</v>
      </c>
      <c r="Y20" s="61"/>
    </row>
    <row r="21" spans="1:47" x14ac:dyDescent="0.45">
      <c r="A21" s="1" t="s">
        <v>39</v>
      </c>
      <c r="B21" s="5">
        <v>23</v>
      </c>
      <c r="C21" s="5">
        <v>1</v>
      </c>
      <c r="D21" s="5" t="s">
        <v>6</v>
      </c>
      <c r="E21" s="5">
        <v>54.7</v>
      </c>
      <c r="F21" s="5">
        <v>167</v>
      </c>
      <c r="G21" s="8">
        <v>1</v>
      </c>
      <c r="H21" s="15">
        <v>1</v>
      </c>
      <c r="I21" s="17">
        <v>93.366759999999999</v>
      </c>
      <c r="J21" s="4">
        <f t="shared" si="1"/>
        <v>84.589291335953504</v>
      </c>
      <c r="K21" s="15">
        <v>3</v>
      </c>
      <c r="L21" s="17">
        <v>89.340479999999999</v>
      </c>
      <c r="M21">
        <f>100+10*(($L$39-L21)/($M$39))</f>
        <v>87.557325148291056</v>
      </c>
      <c r="O21" s="34"/>
      <c r="P21" s="34"/>
      <c r="R21" s="34"/>
      <c r="U21" s="61"/>
      <c r="V21" s="61" t="s">
        <v>54</v>
      </c>
      <c r="W21" s="63">
        <f>AVERAGE(J3:J4,J6:J9,J12:J13,J15,J18:J21)</f>
        <v>99.226612316801109</v>
      </c>
      <c r="X21" s="63">
        <f>_xlfn.STDEV.S(J3:J4,J6:J9,J12:J13,J15,J18:J21)</f>
        <v>9.9629425011977606</v>
      </c>
      <c r="Y21" s="61"/>
    </row>
    <row r="22" spans="1:47" s="13" customFormat="1" ht="14.65" thickBot="1" x14ac:dyDescent="0.5">
      <c r="A22" s="11" t="s">
        <v>40</v>
      </c>
      <c r="B22" s="14">
        <v>62</v>
      </c>
      <c r="C22" s="14">
        <v>2</v>
      </c>
      <c r="D22" s="14" t="s">
        <v>10</v>
      </c>
      <c r="E22" s="14">
        <v>82</v>
      </c>
      <c r="F22" s="14">
        <v>181</v>
      </c>
      <c r="G22" s="14">
        <v>1</v>
      </c>
      <c r="H22" s="16">
        <v>4</v>
      </c>
      <c r="I22" s="19">
        <v>83.398780000000002</v>
      </c>
      <c r="J22" s="12">
        <f t="shared" si="1"/>
        <v>109.54047760694885</v>
      </c>
      <c r="K22" s="16">
        <v>4</v>
      </c>
      <c r="L22" s="65">
        <v>82.649829999999994</v>
      </c>
      <c r="M22" s="13">
        <f>100+10*(($L$39-L22)/($M$39))</f>
        <v>112.26183724608474</v>
      </c>
      <c r="N22" s="14"/>
      <c r="O22" s="14"/>
      <c r="P22" s="14"/>
      <c r="Q22" s="14"/>
      <c r="R22" s="14"/>
      <c r="T22" s="10"/>
      <c r="U22" s="61"/>
      <c r="V22" s="61" t="s">
        <v>53</v>
      </c>
      <c r="W22" s="63">
        <f>AVERAGE(J10:J11,J14,J16:J17)</f>
        <v>105.2376509187562</v>
      </c>
      <c r="X22" s="63">
        <f>_xlfn.STDEV.S(J10:J11,J14,J16:J17)</f>
        <v>8.6949896476370032</v>
      </c>
      <c r="Y22" s="61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</row>
    <row r="23" spans="1:47" ht="15" thickTop="1" thickBot="1" x14ac:dyDescent="0.5">
      <c r="A23" s="1" t="s">
        <v>47</v>
      </c>
      <c r="B23" s="5">
        <v>22</v>
      </c>
      <c r="C23" s="5">
        <v>1</v>
      </c>
      <c r="D23" s="5" t="s">
        <v>6</v>
      </c>
      <c r="E23" s="26"/>
      <c r="F23" s="26"/>
      <c r="G23" s="8">
        <v>1</v>
      </c>
      <c r="H23" s="15">
        <v>4</v>
      </c>
      <c r="I23" s="17">
        <v>83.077910000000003</v>
      </c>
      <c r="J23" s="12">
        <f t="shared" si="1"/>
        <v>110.34365810478033</v>
      </c>
      <c r="K23" s="15">
        <v>4</v>
      </c>
      <c r="L23" s="82">
        <v>82.174170000000004</v>
      </c>
      <c r="M23" s="84">
        <f>100+10*(($L$39-L23)/($M$39))</f>
        <v>114.01816110466893</v>
      </c>
      <c r="U23" s="61"/>
      <c r="V23" s="61"/>
      <c r="W23" s="63"/>
      <c r="X23" s="63"/>
      <c r="Y23" s="61"/>
    </row>
    <row r="24" spans="1:47" s="27" customFormat="1" ht="14.65" thickTop="1" x14ac:dyDescent="0.45">
      <c r="A24" s="22" t="s">
        <v>41</v>
      </c>
      <c r="B24" s="23">
        <v>64</v>
      </c>
      <c r="C24" s="23">
        <v>2</v>
      </c>
      <c r="D24" s="23" t="s">
        <v>10</v>
      </c>
      <c r="E24" s="23">
        <v>91.5</v>
      </c>
      <c r="F24" s="23">
        <v>188</v>
      </c>
      <c r="G24" s="23">
        <v>1</v>
      </c>
      <c r="H24" s="24"/>
      <c r="I24" s="25"/>
      <c r="J24" s="24"/>
      <c r="K24" s="24"/>
      <c r="L24" s="25"/>
      <c r="M24" s="23"/>
      <c r="N24" s="23"/>
      <c r="O24" s="23"/>
      <c r="P24" s="23"/>
      <c r="Q24" s="23"/>
      <c r="R24" s="23"/>
      <c r="S24" s="23"/>
      <c r="T24" s="40"/>
      <c r="U24" s="61"/>
      <c r="V24" s="61" t="s">
        <v>55</v>
      </c>
      <c r="W24" s="63">
        <f>AVERAGE(M3:M4,M6:M9,M12:M13,M15,M18:M21)</f>
        <v>98.92167991502545</v>
      </c>
      <c r="X24" s="63">
        <f>_xlfn.STDEV.S(M3:M4,M12:M13,M6:M9,M15,M18:M21)</f>
        <v>9.5235457969969222</v>
      </c>
      <c r="Y24" s="62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</row>
    <row r="25" spans="1:47" s="13" customFormat="1" x14ac:dyDescent="0.45">
      <c r="A25" s="11" t="s">
        <v>42</v>
      </c>
      <c r="B25" s="14">
        <v>57</v>
      </c>
      <c r="C25" s="14">
        <v>2</v>
      </c>
      <c r="D25" s="14" t="s">
        <v>10</v>
      </c>
      <c r="E25" s="14">
        <v>90.5</v>
      </c>
      <c r="F25" s="14">
        <v>184</v>
      </c>
      <c r="G25" s="8">
        <v>1</v>
      </c>
      <c r="H25" s="16"/>
      <c r="I25" s="19"/>
      <c r="J25" s="16"/>
      <c r="K25" s="16"/>
      <c r="L25" s="19"/>
      <c r="N25" s="14"/>
      <c r="O25" s="14"/>
      <c r="P25" s="14"/>
      <c r="Q25" s="14"/>
      <c r="R25" s="14"/>
      <c r="T25" s="10"/>
      <c r="U25" s="61"/>
      <c r="V25" s="61" t="s">
        <v>56</v>
      </c>
      <c r="W25" s="63">
        <f>AVERAGE(M10:M11,M14,M16:M17)</f>
        <v>105.53607615152009</v>
      </c>
      <c r="X25" s="63">
        <f>_xlfn.STDEV.S(M10:M11,M14,M16:M17)</f>
        <v>15.196114855150222</v>
      </c>
      <c r="Y25" s="61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</row>
    <row r="26" spans="1:47" s="13" customFormat="1" x14ac:dyDescent="0.45">
      <c r="A26" s="11" t="s">
        <v>44</v>
      </c>
      <c r="B26" s="14">
        <v>50</v>
      </c>
      <c r="C26" s="14">
        <v>2</v>
      </c>
      <c r="D26" s="14" t="s">
        <v>10</v>
      </c>
      <c r="E26" s="14">
        <v>89</v>
      </c>
      <c r="F26" s="14">
        <v>186</v>
      </c>
      <c r="G26" s="8">
        <v>1</v>
      </c>
      <c r="H26" s="16"/>
      <c r="I26" s="19"/>
      <c r="J26" s="16"/>
      <c r="K26" s="16"/>
      <c r="L26" s="19"/>
      <c r="N26" s="14"/>
      <c r="O26" s="14"/>
      <c r="P26" s="14"/>
      <c r="Q26" s="14"/>
      <c r="R26" s="14"/>
      <c r="T26" s="10"/>
      <c r="U26" s="61"/>
      <c r="V26" s="61"/>
      <c r="W26" s="63"/>
      <c r="X26" s="63"/>
      <c r="Y26" s="61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</row>
    <row r="27" spans="1:47" s="13" customFormat="1" x14ac:dyDescent="0.45">
      <c r="A27" s="11" t="s">
        <v>46</v>
      </c>
      <c r="B27" s="14">
        <v>54</v>
      </c>
      <c r="C27" s="14">
        <v>2</v>
      </c>
      <c r="D27" s="14" t="s">
        <v>6</v>
      </c>
      <c r="E27" s="14"/>
      <c r="F27" s="14"/>
      <c r="G27" s="8">
        <v>1</v>
      </c>
      <c r="H27" s="16"/>
      <c r="I27" s="19"/>
      <c r="J27" s="16"/>
      <c r="K27" s="16"/>
      <c r="L27" s="19"/>
      <c r="N27" s="14"/>
      <c r="O27" s="14"/>
      <c r="P27" s="14"/>
      <c r="Q27" s="14"/>
      <c r="R27" s="14"/>
      <c r="T27" s="10"/>
      <c r="U27" s="61"/>
      <c r="V27" s="61" t="s">
        <v>75</v>
      </c>
      <c r="W27" s="63">
        <f>AVERAGE(P3:P4,P6:P9,P13,P18:P21)</f>
        <v>100.00000000000004</v>
      </c>
      <c r="X27" s="63">
        <f>_xlfn.STDEV.S(P3:P4,P6:P9,P13,P18:P21)</f>
        <v>10</v>
      </c>
      <c r="Y27" s="61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</row>
    <row r="28" spans="1:47" s="13" customFormat="1" x14ac:dyDescent="0.45">
      <c r="A28" s="13" t="s">
        <v>45</v>
      </c>
      <c r="B28" s="14">
        <v>53</v>
      </c>
      <c r="C28" s="14">
        <v>2</v>
      </c>
      <c r="D28" s="14" t="s">
        <v>6</v>
      </c>
      <c r="E28" s="14">
        <v>66</v>
      </c>
      <c r="F28" s="14">
        <v>162</v>
      </c>
      <c r="G28" s="8">
        <v>1</v>
      </c>
      <c r="H28" s="16"/>
      <c r="I28" s="19"/>
      <c r="J28" s="16"/>
      <c r="K28" s="16"/>
      <c r="L28" s="19"/>
      <c r="N28" s="14"/>
      <c r="O28" s="14"/>
      <c r="P28" s="14"/>
      <c r="Q28" s="14"/>
      <c r="R28" s="14"/>
      <c r="T28" s="10"/>
      <c r="U28" s="61"/>
      <c r="V28" s="61" t="s">
        <v>76</v>
      </c>
      <c r="W28" s="63">
        <f>AVERAGE(P10:P11,P14,P16:P17)</f>
        <v>96.420999136744129</v>
      </c>
      <c r="X28" s="63">
        <f>_xlfn.STDEV.S(P10:P11,P14,P16:P17)</f>
        <v>9.8923102303802146</v>
      </c>
      <c r="Y28" s="61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</row>
    <row r="29" spans="1:47" s="27" customFormat="1" x14ac:dyDescent="0.45">
      <c r="A29" s="27" t="s">
        <v>48</v>
      </c>
      <c r="B29" s="23">
        <v>70</v>
      </c>
      <c r="C29" s="23">
        <v>2</v>
      </c>
      <c r="D29" s="23" t="s">
        <v>10</v>
      </c>
      <c r="E29" s="23">
        <v>90.6</v>
      </c>
      <c r="F29" s="23">
        <v>183</v>
      </c>
      <c r="G29" s="23">
        <v>1</v>
      </c>
      <c r="H29" s="24"/>
      <c r="I29" s="25"/>
      <c r="J29" s="24"/>
      <c r="K29" s="24"/>
      <c r="L29" s="25"/>
      <c r="N29" s="23"/>
      <c r="O29" s="23"/>
      <c r="P29" s="23"/>
      <c r="Q29" s="23"/>
      <c r="R29" s="23"/>
      <c r="T29" s="40"/>
      <c r="U29" s="62"/>
      <c r="V29" s="62"/>
      <c r="W29" s="64"/>
      <c r="X29" s="64"/>
      <c r="Y29" s="62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</row>
    <row r="30" spans="1:47" s="13" customFormat="1" x14ac:dyDescent="0.45">
      <c r="A30" s="13" t="s">
        <v>49</v>
      </c>
      <c r="B30" s="14">
        <v>53</v>
      </c>
      <c r="C30" s="14">
        <v>2</v>
      </c>
      <c r="D30" s="14" t="s">
        <v>6</v>
      </c>
      <c r="E30" s="14">
        <v>67.400000000000006</v>
      </c>
      <c r="F30" s="14">
        <v>170</v>
      </c>
      <c r="G30" s="8">
        <v>1</v>
      </c>
      <c r="H30" s="16"/>
      <c r="I30" s="19"/>
      <c r="J30" s="16"/>
      <c r="K30" s="16"/>
      <c r="L30" s="19"/>
      <c r="N30" s="14"/>
      <c r="O30" s="14"/>
      <c r="P30" s="14"/>
      <c r="Q30" s="14"/>
      <c r="R30" s="14"/>
      <c r="T30" s="10"/>
      <c r="U30" s="61"/>
      <c r="V30" s="61" t="s">
        <v>77</v>
      </c>
      <c r="W30" s="63">
        <f>AVERAGE(S3:S4,S6:S9,S12:S13,S15,S18:S21)</f>
        <v>100</v>
      </c>
      <c r="X30" s="63">
        <f>_xlfn.STDEV.S(S3:S4,S6:S9,S12:S13,S15,S18:S21)</f>
        <v>10</v>
      </c>
      <c r="Y30" s="61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</row>
    <row r="31" spans="1:47" s="13" customFormat="1" x14ac:dyDescent="0.45">
      <c r="A31" s="13" t="s">
        <v>50</v>
      </c>
      <c r="B31" s="14">
        <v>53</v>
      </c>
      <c r="C31" s="14">
        <v>2</v>
      </c>
      <c r="D31" s="14" t="s">
        <v>6</v>
      </c>
      <c r="E31" s="14">
        <v>64</v>
      </c>
      <c r="F31" s="14">
        <v>160</v>
      </c>
      <c r="G31" s="8">
        <v>1</v>
      </c>
      <c r="H31" s="16"/>
      <c r="I31" s="19"/>
      <c r="J31" s="16"/>
      <c r="K31" s="16"/>
      <c r="L31" s="19"/>
      <c r="N31" s="14"/>
      <c r="O31" s="14"/>
      <c r="P31" s="14"/>
      <c r="Q31" s="14"/>
      <c r="R31" s="14"/>
      <c r="T31" s="10"/>
      <c r="U31" s="61"/>
      <c r="V31" s="61" t="s">
        <v>78</v>
      </c>
      <c r="W31" s="63">
        <f>AVERAGE(S10:S11,S14,S16:S17)</f>
        <v>96.03414978483849</v>
      </c>
      <c r="X31" s="63">
        <f>_xlfn.STDEV.S(S10:S11,S14,S16:S17)</f>
        <v>5.8693152026397435</v>
      </c>
      <c r="Y31" s="61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</row>
    <row r="32" spans="1:47" s="13" customFormat="1" x14ac:dyDescent="0.45">
      <c r="A32" s="13" t="s">
        <v>57</v>
      </c>
      <c r="B32" s="14">
        <v>74</v>
      </c>
      <c r="C32" s="14">
        <v>2</v>
      </c>
      <c r="D32" s="14" t="s">
        <v>10</v>
      </c>
      <c r="E32" s="14"/>
      <c r="F32" s="14"/>
      <c r="G32" s="8">
        <v>1</v>
      </c>
      <c r="H32" s="16"/>
      <c r="I32" s="19"/>
      <c r="J32" s="16"/>
      <c r="K32" s="16"/>
      <c r="L32" s="19"/>
      <c r="N32" s="14"/>
      <c r="O32" s="14"/>
      <c r="P32" s="14"/>
      <c r="Q32" s="14"/>
      <c r="R32" s="14"/>
      <c r="T32" s="10"/>
      <c r="U32" s="61"/>
      <c r="V32" s="61"/>
      <c r="W32" s="61"/>
      <c r="X32" s="61"/>
      <c r="Y32" s="61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</row>
    <row r="33" spans="1:47" x14ac:dyDescent="0.45">
      <c r="A33" t="s">
        <v>58</v>
      </c>
      <c r="B33" s="5"/>
      <c r="C33" s="5"/>
      <c r="D33" s="5"/>
      <c r="E33" s="5"/>
      <c r="F33" s="5"/>
      <c r="G33" s="8"/>
    </row>
    <row r="34" spans="1:47" x14ac:dyDescent="0.45">
      <c r="A34" t="s">
        <v>59</v>
      </c>
      <c r="B34" s="5"/>
      <c r="C34" s="5"/>
      <c r="D34" s="5"/>
      <c r="E34" s="5"/>
      <c r="F34" s="5"/>
      <c r="G34" s="8"/>
    </row>
    <row r="35" spans="1:47" s="13" customFormat="1" x14ac:dyDescent="0.45">
      <c r="A35" s="13" t="s">
        <v>60</v>
      </c>
      <c r="B35" s="14">
        <v>60</v>
      </c>
      <c r="C35" s="14"/>
      <c r="D35" s="14" t="s">
        <v>6</v>
      </c>
      <c r="E35" s="14"/>
      <c r="F35" s="14"/>
      <c r="G35" s="14">
        <v>1</v>
      </c>
      <c r="H35" s="16"/>
      <c r="I35" s="19"/>
      <c r="J35" s="16"/>
      <c r="K35" s="16"/>
      <c r="L35" s="19"/>
      <c r="N35" s="14"/>
      <c r="O35" s="14"/>
      <c r="P35" s="14"/>
      <c r="Q35" s="14"/>
      <c r="R35" s="14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</row>
    <row r="36" spans="1:47" x14ac:dyDescent="0.45">
      <c r="A36" s="13" t="s">
        <v>63</v>
      </c>
      <c r="B36" s="5">
        <v>22</v>
      </c>
      <c r="C36" s="5"/>
      <c r="D36" s="5" t="s">
        <v>6</v>
      </c>
      <c r="E36" s="5"/>
      <c r="F36" s="5"/>
      <c r="G36" s="8">
        <v>1</v>
      </c>
    </row>
    <row r="37" spans="1:47" x14ac:dyDescent="0.45">
      <c r="B37" s="5"/>
      <c r="C37" s="5"/>
      <c r="D37" s="5"/>
      <c r="E37" s="5"/>
      <c r="F37" s="5"/>
      <c r="G37" s="8"/>
      <c r="I37" s="20"/>
      <c r="J37" s="21"/>
      <c r="K37" s="21"/>
      <c r="L37" s="20"/>
      <c r="M37" s="10"/>
      <c r="N37" s="50"/>
      <c r="O37" s="50"/>
      <c r="P37" s="50"/>
      <c r="Q37" s="50"/>
      <c r="R37" s="50"/>
      <c r="S37" s="10"/>
    </row>
    <row r="38" spans="1:47" x14ac:dyDescent="0.45">
      <c r="B38" s="5"/>
      <c r="C38" s="5"/>
      <c r="D38" s="5"/>
      <c r="E38" s="5"/>
      <c r="F38" s="5"/>
      <c r="G38" s="8"/>
      <c r="I38" s="51" t="s">
        <v>74</v>
      </c>
      <c r="J38" s="52" t="s">
        <v>73</v>
      </c>
      <c r="K38" s="52"/>
      <c r="L38" s="53" t="s">
        <v>74</v>
      </c>
      <c r="M38" s="53" t="s">
        <v>73</v>
      </c>
      <c r="N38" s="54"/>
      <c r="O38" s="53" t="s">
        <v>74</v>
      </c>
      <c r="P38" s="53" t="s">
        <v>73</v>
      </c>
      <c r="Q38" s="54"/>
      <c r="R38" s="53" t="s">
        <v>74</v>
      </c>
      <c r="S38" s="55" t="s">
        <v>73</v>
      </c>
    </row>
    <row r="39" spans="1:47" x14ac:dyDescent="0.45">
      <c r="B39" s="5"/>
      <c r="C39" s="5"/>
      <c r="D39" s="5"/>
      <c r="E39" s="5"/>
      <c r="F39" s="5"/>
      <c r="G39" s="8"/>
      <c r="I39" s="56">
        <f>AVERAGE(I18:I21,I15,I12:I13,I6:I9,I3:I4,I23)</f>
        <v>87.210193571428576</v>
      </c>
      <c r="J39" s="57">
        <f>_xlfn.STDEV.S(I3:I4,I6:I9,I12:I13,I15,I18:I20,I21,I23)</f>
        <v>3.9949924190928479</v>
      </c>
      <c r="K39" s="57"/>
      <c r="L39" s="83">
        <f>AVERAGE(L3:L4,L6:L9,L12:L13,L15,L18:L21,L23)</f>
        <v>85.970667142857138</v>
      </c>
      <c r="M39" s="58">
        <f>_xlfn.STDEV.S(L3:L4,L6:L9,L12:L13,L15,L18:L21,L23)</f>
        <v>2.7082704461091276</v>
      </c>
      <c r="N39" s="59"/>
      <c r="O39" s="59">
        <f>AVERAGE(O3:O4,O6:O9,O13,O18:O21)</f>
        <v>79.745250000000013</v>
      </c>
      <c r="P39" s="59">
        <f>_xlfn.STDEV.S(O3:O4,O6:O9,O13,O18:O21)</f>
        <v>2.6681804125949875</v>
      </c>
      <c r="Q39" s="59"/>
      <c r="R39" s="59">
        <f>AVERAGE(R3:R4,R6:R9,R13,R15,R12,R18:R21)</f>
        <v>80.475728333333336</v>
      </c>
      <c r="S39" s="60">
        <f>_xlfn.STDEV.S(R3:R4,R6:R9,R12:R13,R15,R18:R21)</f>
        <v>3.3342350187898022</v>
      </c>
    </row>
    <row r="43" spans="1:47" x14ac:dyDescent="0.45">
      <c r="J43" s="15" t="s">
        <v>71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"/>
  <sheetViews>
    <sheetView workbookViewId="0">
      <selection activeCell="F11" sqref="F11"/>
    </sheetView>
  </sheetViews>
  <sheetFormatPr defaultRowHeight="14.25" x14ac:dyDescent="0.45"/>
  <cols>
    <col min="2" max="2" width="9.1328125" customWidth="1"/>
  </cols>
  <sheetData>
    <row r="1" spans="2:13" ht="14.65" thickBot="1" x14ac:dyDescent="0.5"/>
    <row r="2" spans="2:13" x14ac:dyDescent="0.45">
      <c r="B2" s="47" t="s">
        <v>72</v>
      </c>
      <c r="C2" s="70" t="s">
        <v>70</v>
      </c>
      <c r="D2" s="71"/>
      <c r="E2" s="70" t="s">
        <v>64</v>
      </c>
      <c r="F2" s="71"/>
      <c r="G2" s="70" t="s">
        <v>65</v>
      </c>
      <c r="H2" s="71"/>
      <c r="I2" s="70" t="s">
        <v>66</v>
      </c>
      <c r="J2" s="71"/>
      <c r="K2" s="70" t="s">
        <v>67</v>
      </c>
      <c r="L2" s="71"/>
      <c r="M2" s="44"/>
    </row>
    <row r="3" spans="2:13" ht="14.65" thickBot="1" x14ac:dyDescent="0.5">
      <c r="B3" s="41"/>
      <c r="C3" s="72"/>
      <c r="D3" s="73"/>
      <c r="E3" s="72"/>
      <c r="F3" s="73"/>
      <c r="G3" s="72"/>
      <c r="H3" s="73"/>
      <c r="I3" s="72"/>
      <c r="J3" s="73"/>
      <c r="K3" s="72"/>
      <c r="L3" s="73"/>
      <c r="M3" s="44"/>
    </row>
    <row r="4" spans="2:13" x14ac:dyDescent="0.45">
      <c r="B4" s="80" t="s">
        <v>68</v>
      </c>
      <c r="C4" s="74">
        <v>13</v>
      </c>
      <c r="D4" s="75"/>
      <c r="E4" s="66" t="s">
        <v>79</v>
      </c>
      <c r="F4" s="67"/>
      <c r="G4" s="66" t="s">
        <v>81</v>
      </c>
      <c r="H4" s="67"/>
      <c r="I4" s="66" t="s">
        <v>81</v>
      </c>
      <c r="J4" s="67"/>
      <c r="K4" s="78" t="s">
        <v>81</v>
      </c>
      <c r="L4" s="67"/>
    </row>
    <row r="5" spans="2:13" ht="14.65" thickBot="1" x14ac:dyDescent="0.5">
      <c r="B5" s="81"/>
      <c r="C5" s="76"/>
      <c r="D5" s="77"/>
      <c r="E5" s="68"/>
      <c r="F5" s="69"/>
      <c r="G5" s="68"/>
      <c r="H5" s="69"/>
      <c r="I5" s="68"/>
      <c r="J5" s="69"/>
      <c r="K5" s="79"/>
      <c r="L5" s="69"/>
    </row>
    <row r="6" spans="2:13" x14ac:dyDescent="0.45">
      <c r="B6" s="80" t="s">
        <v>69</v>
      </c>
      <c r="C6" s="74">
        <v>5</v>
      </c>
      <c r="D6" s="75"/>
      <c r="E6" s="66" t="s">
        <v>80</v>
      </c>
      <c r="F6" s="67"/>
      <c r="G6" s="66" t="s">
        <v>82</v>
      </c>
      <c r="H6" s="67"/>
      <c r="I6" s="66" t="s">
        <v>83</v>
      </c>
      <c r="J6" s="67"/>
      <c r="K6" s="66" t="s">
        <v>84</v>
      </c>
      <c r="L6" s="67"/>
    </row>
    <row r="7" spans="2:13" ht="14.65" thickBot="1" x14ac:dyDescent="0.5">
      <c r="B7" s="81"/>
      <c r="C7" s="76"/>
      <c r="D7" s="77"/>
      <c r="E7" s="68"/>
      <c r="F7" s="69"/>
      <c r="G7" s="68"/>
      <c r="H7" s="69"/>
      <c r="I7" s="68"/>
      <c r="J7" s="69"/>
      <c r="K7" s="68"/>
      <c r="L7" s="69"/>
    </row>
    <row r="8" spans="2:13" x14ac:dyDescent="0.45">
      <c r="B8" s="45"/>
    </row>
  </sheetData>
  <mergeCells count="17">
    <mergeCell ref="B4:B5"/>
    <mergeCell ref="B6:B7"/>
    <mergeCell ref="E4:F5"/>
    <mergeCell ref="G4:H5"/>
    <mergeCell ref="I4:J5"/>
    <mergeCell ref="E6:F7"/>
    <mergeCell ref="G6:H7"/>
    <mergeCell ref="I6:J7"/>
    <mergeCell ref="K6:L7"/>
    <mergeCell ref="C2:D3"/>
    <mergeCell ref="C4:D5"/>
    <mergeCell ref="C6:D7"/>
    <mergeCell ref="E2:F3"/>
    <mergeCell ref="G2:H3"/>
    <mergeCell ref="I2:J3"/>
    <mergeCell ref="K2:L3"/>
    <mergeCell ref="K4:L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F0E7F5-9746-49F3-A5C8-EC1B915C06FC}"/>
</file>

<file path=customXml/itemProps2.xml><?xml version="1.0" encoding="utf-8"?>
<ds:datastoreItem xmlns:ds="http://schemas.openxmlformats.org/officeDocument/2006/customXml" ds:itemID="{7AD75590-814A-4B98-BA6E-DA9342033C79}"/>
</file>

<file path=customXml/itemProps3.xml><?xml version="1.0" encoding="utf-8"?>
<ds:datastoreItem xmlns:ds="http://schemas.openxmlformats.org/officeDocument/2006/customXml" ds:itemID="{204B7485-7D70-4E9D-B5E2-3F160AA7C9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DMCI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2022-07-22T12:25:32Z</dcterms:created>
  <dcterms:modified xsi:type="dcterms:W3CDTF">2022-08-29T19:24:17Z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